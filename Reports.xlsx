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S scholar\Downloads\"/>
    </mc:Choice>
  </mc:AlternateContent>
  <xr:revisionPtr revIDLastSave="0" documentId="8_{D43078FD-E6FC-4419-94AE-2327E36AFCC9}" xr6:coauthVersionLast="47" xr6:coauthVersionMax="47" xr10:uidLastSave="{00000000-0000-0000-0000-000000000000}"/>
  <bookViews>
    <workbookView xWindow="-108" yWindow="-108" windowWidth="23256" windowHeight="12456" activeTab="2" xr2:uid="{77EE3C30-8B4B-419A-8DCD-AB749660CAB7}"/>
  </bookViews>
  <sheets>
    <sheet name="Payroll" sheetId="1" r:id="rId1"/>
    <sheet name="KPI" sheetId="2" r:id="rId2"/>
    <sheet name="Manpower Plann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G8" i="3"/>
  <c r="E8" i="3"/>
  <c r="C8" i="3"/>
  <c r="J4" i="3"/>
  <c r="J5" i="3"/>
  <c r="J6" i="3"/>
  <c r="J7" i="3"/>
  <c r="J3" i="3"/>
  <c r="H4" i="3"/>
  <c r="H5" i="3"/>
  <c r="H6" i="3"/>
  <c r="H7" i="3"/>
  <c r="H3" i="3"/>
  <c r="G4" i="3"/>
  <c r="G5" i="3"/>
  <c r="G6" i="3"/>
  <c r="G7" i="3"/>
  <c r="G3" i="3"/>
  <c r="AY7" i="2"/>
  <c r="AY6" i="2"/>
  <c r="AY5" i="2"/>
  <c r="AY4" i="2"/>
  <c r="AY3" i="2"/>
  <c r="S4" i="2"/>
  <c r="T4" i="2" s="1"/>
  <c r="AM4" i="2" s="1"/>
  <c r="AR4" i="2" s="1"/>
  <c r="AS4" i="2" s="1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3" i="2"/>
  <c r="T3" i="2"/>
  <c r="AN4" i="2"/>
  <c r="AN5" i="2"/>
  <c r="AN6" i="2"/>
  <c r="AN7" i="2"/>
  <c r="AN8" i="2"/>
  <c r="AE4" i="2"/>
  <c r="AL4" i="2" s="1"/>
  <c r="AE5" i="2"/>
  <c r="AL5" i="2" s="1"/>
  <c r="AE6" i="2"/>
  <c r="AL6" i="2" s="1"/>
  <c r="AE7" i="2"/>
  <c r="AL7" i="2" s="1"/>
  <c r="AE8" i="2"/>
  <c r="AE9" i="2"/>
  <c r="AN9" i="2" s="1"/>
  <c r="AE10" i="2"/>
  <c r="AN10" i="2" s="1"/>
  <c r="AE11" i="2"/>
  <c r="AL11" i="2" s="1"/>
  <c r="AE12" i="2"/>
  <c r="AN12" i="2" s="1"/>
  <c r="AE3" i="2"/>
  <c r="AL3" i="2" s="1"/>
  <c r="AL8" i="2"/>
  <c r="R4" i="1"/>
  <c r="R5" i="1"/>
  <c r="R6" i="1"/>
  <c r="R7" i="1"/>
  <c r="R8" i="1"/>
  <c r="R9" i="1"/>
  <c r="R10" i="1"/>
  <c r="R11" i="1"/>
  <c r="R12" i="1"/>
  <c r="R3" i="1"/>
  <c r="P4" i="1"/>
  <c r="P5" i="1"/>
  <c r="P6" i="1"/>
  <c r="P7" i="1"/>
  <c r="P8" i="1"/>
  <c r="P9" i="1"/>
  <c r="P10" i="1"/>
  <c r="P11" i="1"/>
  <c r="P12" i="1"/>
  <c r="P3" i="1"/>
  <c r="N4" i="1"/>
  <c r="N5" i="1"/>
  <c r="N6" i="1"/>
  <c r="N7" i="1"/>
  <c r="N8" i="1"/>
  <c r="N9" i="1"/>
  <c r="N10" i="1"/>
  <c r="N11" i="1"/>
  <c r="N12" i="1"/>
  <c r="N3" i="1"/>
  <c r="AN11" i="2" l="1"/>
  <c r="AN3" i="2"/>
  <c r="AL12" i="2"/>
  <c r="AL10" i="2"/>
  <c r="AL9" i="2"/>
  <c r="AK12" i="2"/>
  <c r="AM12" i="2"/>
  <c r="AR12" i="2" s="1"/>
  <c r="AS12" i="2" s="1"/>
  <c r="AK11" i="2"/>
  <c r="AM11" i="2"/>
  <c r="AR11" i="2" s="1"/>
  <c r="AS11" i="2" s="1"/>
  <c r="AK10" i="2"/>
  <c r="AM10" i="2"/>
  <c r="AR10" i="2" s="1"/>
  <c r="AS10" i="2" s="1"/>
  <c r="AK9" i="2"/>
  <c r="AM9" i="2"/>
  <c r="AR9" i="2" s="1"/>
  <c r="AS9" i="2" s="1"/>
  <c r="AK8" i="2"/>
  <c r="AM8" i="2"/>
  <c r="AR8" i="2" s="1"/>
  <c r="AS8" i="2" s="1"/>
  <c r="AK7" i="2"/>
  <c r="AO7" i="2" s="1"/>
  <c r="AP7" i="2" s="1"/>
  <c r="AM7" i="2"/>
  <c r="AR7" i="2" s="1"/>
  <c r="AS7" i="2" s="1"/>
  <c r="AK6" i="2"/>
  <c r="AO6" i="2" s="1"/>
  <c r="AP6" i="2" s="1"/>
  <c r="AM6" i="2"/>
  <c r="AR6" i="2" s="1"/>
  <c r="AS6" i="2" s="1"/>
  <c r="AK5" i="2"/>
  <c r="AO5" i="2" s="1"/>
  <c r="AP5" i="2" s="1"/>
  <c r="AM5" i="2"/>
  <c r="AR5" i="2" s="1"/>
  <c r="AS5" i="2" s="1"/>
  <c r="AK4" i="2"/>
  <c r="AK3" i="2"/>
  <c r="AO3" i="2" s="1"/>
  <c r="AP3" i="2" s="1"/>
  <c r="AM3" i="2"/>
  <c r="AR3" i="2" s="1"/>
  <c r="AS3" i="2" s="1"/>
  <c r="AO12" i="2"/>
  <c r="AP12" i="2" s="1"/>
  <c r="AO4" i="2"/>
  <c r="AP4" i="2" s="1"/>
  <c r="AO11" i="2"/>
  <c r="AP11" i="2" s="1"/>
  <c r="AO10" i="2"/>
  <c r="AP10" i="2" s="1"/>
  <c r="AO9" i="2"/>
  <c r="AP9" i="2" s="1"/>
  <c r="AO8" i="2"/>
  <c r="AP8" i="2" s="1"/>
  <c r="AB5" i="1"/>
  <c r="AB6" i="1" s="1"/>
</calcChain>
</file>

<file path=xl/sharedStrings.xml><?xml version="1.0" encoding="utf-8"?>
<sst xmlns="http://schemas.openxmlformats.org/spreadsheetml/2006/main" count="202" uniqueCount="104">
  <si>
    <t>Payroll Report</t>
  </si>
  <si>
    <t>Employee ID</t>
  </si>
  <si>
    <t>Emploee Name</t>
  </si>
  <si>
    <t>Position</t>
  </si>
  <si>
    <t>Bank Name</t>
  </si>
  <si>
    <t>Payment Status</t>
  </si>
  <si>
    <t>Ahmed Ali</t>
  </si>
  <si>
    <t>Sara Mohamed</t>
  </si>
  <si>
    <t>Omar Hassan</t>
  </si>
  <si>
    <t>Nada Ahmed</t>
  </si>
  <si>
    <t>Mostafa Adel</t>
  </si>
  <si>
    <t>Mariam Tarek</t>
  </si>
  <si>
    <t>Youssef Khaled</t>
  </si>
  <si>
    <t>Salma Hany</t>
  </si>
  <si>
    <t>Mohamed Fathy</t>
  </si>
  <si>
    <t>Aya Mahmoud</t>
  </si>
  <si>
    <t>Customer Service Representative</t>
  </si>
  <si>
    <t>Bank Misr</t>
  </si>
  <si>
    <t>National Bank of Egypt</t>
  </si>
  <si>
    <t>CIB</t>
  </si>
  <si>
    <t>QNB</t>
  </si>
  <si>
    <t>Paid</t>
  </si>
  <si>
    <t xml:space="preserve"> </t>
  </si>
  <si>
    <t>Total Payrol</t>
  </si>
  <si>
    <t>Average Net Salary</t>
  </si>
  <si>
    <t>Highest Net Salary</t>
  </si>
  <si>
    <t>Lowest Net Salary</t>
  </si>
  <si>
    <t>EM001</t>
  </si>
  <si>
    <t>EM002</t>
  </si>
  <si>
    <t>EM003</t>
  </si>
  <si>
    <t>EM004</t>
  </si>
  <si>
    <t>EM005</t>
  </si>
  <si>
    <t>EM006</t>
  </si>
  <si>
    <t>EM007</t>
  </si>
  <si>
    <t>EM008</t>
  </si>
  <si>
    <t>EM009</t>
  </si>
  <si>
    <t>EM0010</t>
  </si>
  <si>
    <t>Net Salary (EGP)</t>
  </si>
  <si>
    <t>Deductions (EGP)</t>
  </si>
  <si>
    <t>Basic Salary (EGP)</t>
  </si>
  <si>
    <t>Bonus (EGP)</t>
  </si>
  <si>
    <t>Overtime (EGP)</t>
  </si>
  <si>
    <t xml:space="preserve">   </t>
  </si>
  <si>
    <t xml:space="preserve">  </t>
  </si>
  <si>
    <t>Experience</t>
  </si>
  <si>
    <t>Fresh Graduate</t>
  </si>
  <si>
    <t>6 Months</t>
  </si>
  <si>
    <t>1 Year</t>
  </si>
  <si>
    <t>2 Years</t>
  </si>
  <si>
    <t>4 Years</t>
  </si>
  <si>
    <t>3 Years</t>
  </si>
  <si>
    <t>Allowance (EGP)</t>
  </si>
  <si>
    <t>Employee Name</t>
  </si>
  <si>
    <t>Customer Satisfaction (%)</t>
  </si>
  <si>
    <t>First Call Resolution (%)</t>
  </si>
  <si>
    <t>Attendance &amp; Punctuality (%)</t>
  </si>
  <si>
    <t>Adherence to Schedule (%)</t>
  </si>
  <si>
    <t>Performace Rating</t>
  </si>
  <si>
    <t>HR Decision</t>
  </si>
  <si>
    <t>Average Handling Time (min)</t>
  </si>
  <si>
    <t>AHT (Score)</t>
  </si>
  <si>
    <t>Performance Summary</t>
  </si>
  <si>
    <t>Excellent Employees</t>
  </si>
  <si>
    <t>Good Employees</t>
  </si>
  <si>
    <t>Department</t>
  </si>
  <si>
    <t>Customer Service</t>
  </si>
  <si>
    <t>Team Leaders</t>
  </si>
  <si>
    <t>HR</t>
  </si>
  <si>
    <t>Quality</t>
  </si>
  <si>
    <t>Operations</t>
  </si>
  <si>
    <t>Current Employees</t>
  </si>
  <si>
    <t>Required Employees</t>
  </si>
  <si>
    <t>Gap</t>
  </si>
  <si>
    <t>Hiring Action</t>
  </si>
  <si>
    <t>Priority</t>
  </si>
  <si>
    <t>Manpower Planning</t>
  </si>
  <si>
    <t>Total</t>
  </si>
  <si>
    <t>-</t>
  </si>
  <si>
    <t>Matric</t>
  </si>
  <si>
    <t>Value</t>
  </si>
  <si>
    <t>Current Workforce</t>
  </si>
  <si>
    <t>Required Workforce</t>
  </si>
  <si>
    <t>Total Gap</t>
  </si>
  <si>
    <t>Positions to Hire</t>
  </si>
  <si>
    <t>Manpower Summary</t>
  </si>
  <si>
    <t>Communication</t>
  </si>
  <si>
    <t>Teamwork</t>
  </si>
  <si>
    <t>Problem Solving</t>
  </si>
  <si>
    <t>Adaptability</t>
  </si>
  <si>
    <t>Competency Score</t>
  </si>
  <si>
    <t>Pending</t>
  </si>
  <si>
    <t>Gross Salary (EGP</t>
  </si>
  <si>
    <t>Employer Social Insurance (EGP)</t>
  </si>
  <si>
    <t>KPI Evaluation</t>
  </si>
  <si>
    <t>KPI Score</t>
  </si>
  <si>
    <t>Customer Focus</t>
  </si>
  <si>
    <t>Competency Evaluation</t>
  </si>
  <si>
    <t>Final Score</t>
  </si>
  <si>
    <t xml:space="preserve">9-Box Decision </t>
  </si>
  <si>
    <t>KPI Level</t>
  </si>
  <si>
    <t>Competency Level</t>
  </si>
  <si>
    <t>Fair Employees</t>
  </si>
  <si>
    <t>Poor Employees</t>
  </si>
  <si>
    <t>Very Good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</si>
</sst>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" fillId="2" borderId="3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2" fontId="2" fillId="4" borderId="9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2" fontId="0" fillId="0" borderId="20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0EBD-E9CC-467A-B983-18E9036BB6BA}">
  <dimension ref="A1:AC14"/>
  <sheetViews>
    <sheetView topLeftCell="I1" zoomScale="87" workbookViewId="0">
      <selection activeCell="G18" sqref="G18"/>
    </sheetView>
  </sheetViews>
  <sheetFormatPr defaultRowHeight="14.4" x14ac:dyDescent="0.3"/>
  <cols>
    <col min="2" max="2" width="10.88671875" customWidth="1"/>
    <col min="5" max="6" width="31.109375" customWidth="1"/>
    <col min="8" max="8" width="12.77734375" customWidth="1"/>
    <col min="9" max="9" width="26.21875" customWidth="1"/>
    <col min="10" max="10" width="14.77734375" customWidth="1"/>
    <col min="11" max="11" width="16.33203125" customWidth="1"/>
    <col min="13" max="14" width="14.6640625" customWidth="1"/>
    <col min="15" max="16" width="6" customWidth="1"/>
    <col min="17" max="17" width="26.5546875" customWidth="1"/>
    <col min="19" max="19" width="14.5546875" customWidth="1"/>
    <col min="21" max="21" width="13.5546875" customWidth="1"/>
    <col min="27" max="27" width="11.21875" customWidth="1"/>
    <col min="28" max="28" width="9.77734375" bestFit="1" customWidth="1"/>
  </cols>
  <sheetData>
    <row r="1" spans="1:29" ht="21.6" thickBot="1" x14ac:dyDescent="0.4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1:29" ht="15.6" x14ac:dyDescent="0.3">
      <c r="A2" s="53" t="s">
        <v>1</v>
      </c>
      <c r="B2" s="54"/>
      <c r="C2" s="55" t="s">
        <v>2</v>
      </c>
      <c r="D2" s="55"/>
      <c r="E2" s="5" t="s">
        <v>3</v>
      </c>
      <c r="F2" s="5" t="s">
        <v>44</v>
      </c>
      <c r="G2" s="55" t="s">
        <v>39</v>
      </c>
      <c r="H2" s="55"/>
      <c r="I2" s="5" t="s">
        <v>51</v>
      </c>
      <c r="J2" s="5" t="s">
        <v>40</v>
      </c>
      <c r="K2" s="5" t="s">
        <v>41</v>
      </c>
      <c r="L2" s="55" t="s">
        <v>38</v>
      </c>
      <c r="M2" s="55"/>
      <c r="N2" s="57" t="s">
        <v>91</v>
      </c>
      <c r="O2" s="58"/>
      <c r="P2" s="57" t="s">
        <v>92</v>
      </c>
      <c r="Q2" s="58"/>
      <c r="R2" s="55" t="s">
        <v>37</v>
      </c>
      <c r="S2" s="55"/>
      <c r="T2" s="55" t="s">
        <v>4</v>
      </c>
      <c r="U2" s="55"/>
      <c r="V2" s="55" t="s">
        <v>5</v>
      </c>
      <c r="W2" s="56"/>
      <c r="X2" s="10"/>
      <c r="Y2" s="10"/>
      <c r="Z2" s="10"/>
      <c r="AA2" s="10"/>
      <c r="AB2" s="10"/>
      <c r="AC2" s="10"/>
    </row>
    <row r="3" spans="1:29" x14ac:dyDescent="0.3">
      <c r="A3" s="41" t="s">
        <v>27</v>
      </c>
      <c r="B3" s="39"/>
      <c r="C3" s="39" t="s">
        <v>6</v>
      </c>
      <c r="D3" s="39"/>
      <c r="E3" s="2" t="s">
        <v>16</v>
      </c>
      <c r="F3" s="1" t="s">
        <v>45</v>
      </c>
      <c r="G3" s="51">
        <v>8000</v>
      </c>
      <c r="H3" s="51"/>
      <c r="I3" s="6">
        <v>0</v>
      </c>
      <c r="J3" s="8">
        <v>0</v>
      </c>
      <c r="K3" s="6">
        <v>200</v>
      </c>
      <c r="L3" s="51">
        <v>0</v>
      </c>
      <c r="M3" s="51"/>
      <c r="N3" s="49">
        <f>G3+I3+J3+K3</f>
        <v>8200</v>
      </c>
      <c r="O3" s="50"/>
      <c r="P3" s="49">
        <f>N3*18.75%</f>
        <v>1537.5</v>
      </c>
      <c r="Q3" s="50"/>
      <c r="R3" s="51">
        <f>N3-L3</f>
        <v>8200</v>
      </c>
      <c r="S3" s="51"/>
      <c r="T3" s="39" t="s">
        <v>17</v>
      </c>
      <c r="U3" s="39"/>
      <c r="V3" s="39" t="s">
        <v>21</v>
      </c>
      <c r="W3" s="48"/>
      <c r="X3" s="10"/>
      <c r="Y3" s="10"/>
      <c r="Z3" s="10"/>
      <c r="AA3" s="10"/>
      <c r="AB3" s="10"/>
      <c r="AC3" s="10"/>
    </row>
    <row r="4" spans="1:29" ht="15" thickBot="1" x14ac:dyDescent="0.35">
      <c r="A4" s="41" t="s">
        <v>28</v>
      </c>
      <c r="B4" s="39"/>
      <c r="C4" s="39" t="s">
        <v>7</v>
      </c>
      <c r="D4" s="39"/>
      <c r="E4" s="2" t="s">
        <v>16</v>
      </c>
      <c r="F4" s="1" t="s">
        <v>45</v>
      </c>
      <c r="G4" s="51">
        <v>8000</v>
      </c>
      <c r="H4" s="51"/>
      <c r="I4" s="6">
        <v>300</v>
      </c>
      <c r="J4" s="6">
        <v>300</v>
      </c>
      <c r="K4" s="6">
        <v>150</v>
      </c>
      <c r="L4" s="51">
        <v>0</v>
      </c>
      <c r="M4" s="51"/>
      <c r="N4" s="49">
        <f t="shared" ref="N4:N12" si="0">G4+I4+J4+K4</f>
        <v>8750</v>
      </c>
      <c r="O4" s="50"/>
      <c r="P4" s="49">
        <f t="shared" ref="P4:P12" si="1">N4*18.75%</f>
        <v>1640.625</v>
      </c>
      <c r="Q4" s="50"/>
      <c r="R4" s="51">
        <f t="shared" ref="R4:R12" si="2">N4-L4</f>
        <v>8750</v>
      </c>
      <c r="S4" s="51"/>
      <c r="T4" s="39" t="s">
        <v>18</v>
      </c>
      <c r="U4" s="39"/>
      <c r="V4" s="39" t="s">
        <v>21</v>
      </c>
      <c r="W4" s="48"/>
      <c r="X4" s="10"/>
      <c r="Y4" s="10"/>
      <c r="Z4" s="10"/>
      <c r="AA4" s="10"/>
      <c r="AB4" s="10"/>
      <c r="AC4" s="10"/>
    </row>
    <row r="5" spans="1:29" ht="15.6" x14ac:dyDescent="0.3">
      <c r="A5" s="41" t="s">
        <v>29</v>
      </c>
      <c r="B5" s="39"/>
      <c r="C5" s="39" t="s">
        <v>8</v>
      </c>
      <c r="D5" s="39"/>
      <c r="E5" s="2" t="s">
        <v>16</v>
      </c>
      <c r="F5" s="1" t="s">
        <v>46</v>
      </c>
      <c r="G5" s="51">
        <v>8200</v>
      </c>
      <c r="H5" s="51"/>
      <c r="I5" s="6">
        <v>500</v>
      </c>
      <c r="J5" s="6">
        <v>500</v>
      </c>
      <c r="K5" s="6">
        <v>300</v>
      </c>
      <c r="L5" s="51">
        <v>200</v>
      </c>
      <c r="M5" s="51"/>
      <c r="N5" s="49">
        <f t="shared" si="0"/>
        <v>9500</v>
      </c>
      <c r="O5" s="50"/>
      <c r="P5" s="49">
        <f t="shared" si="1"/>
        <v>1781.25</v>
      </c>
      <c r="Q5" s="50"/>
      <c r="R5" s="51">
        <f t="shared" si="2"/>
        <v>9300</v>
      </c>
      <c r="S5" s="51"/>
      <c r="T5" s="39" t="s">
        <v>19</v>
      </c>
      <c r="U5" s="39"/>
      <c r="V5" s="39" t="s">
        <v>21</v>
      </c>
      <c r="W5" s="48"/>
      <c r="X5" s="10"/>
      <c r="Y5" s="10"/>
      <c r="Z5" s="42" t="s">
        <v>23</v>
      </c>
      <c r="AA5" s="43"/>
      <c r="AB5" s="13">
        <f>-R3+R4+R5+R6+R7+R8+R9+R10+R11+R12</f>
        <v>86400</v>
      </c>
      <c r="AC5" s="10"/>
    </row>
    <row r="6" spans="1:29" ht="15.6" x14ac:dyDescent="0.3">
      <c r="A6" s="41" t="s">
        <v>30</v>
      </c>
      <c r="B6" s="39"/>
      <c r="C6" s="39" t="s">
        <v>9</v>
      </c>
      <c r="D6" s="39"/>
      <c r="E6" s="2" t="s">
        <v>16</v>
      </c>
      <c r="F6" s="1" t="s">
        <v>47</v>
      </c>
      <c r="G6" s="51">
        <v>8500</v>
      </c>
      <c r="H6" s="51"/>
      <c r="I6" s="6">
        <v>700</v>
      </c>
      <c r="J6" s="6">
        <v>500</v>
      </c>
      <c r="K6" s="6">
        <v>0</v>
      </c>
      <c r="L6" s="51">
        <v>100</v>
      </c>
      <c r="M6" s="51"/>
      <c r="N6" s="49">
        <f t="shared" si="0"/>
        <v>9700</v>
      </c>
      <c r="O6" s="50"/>
      <c r="P6" s="49">
        <f t="shared" si="1"/>
        <v>1818.75</v>
      </c>
      <c r="Q6" s="50"/>
      <c r="R6" s="51">
        <f t="shared" si="2"/>
        <v>9600</v>
      </c>
      <c r="S6" s="51"/>
      <c r="T6" s="39" t="s">
        <v>17</v>
      </c>
      <c r="U6" s="39"/>
      <c r="V6" s="39" t="s">
        <v>21</v>
      </c>
      <c r="W6" s="48"/>
      <c r="X6" s="10"/>
      <c r="Y6" s="10"/>
      <c r="Z6" s="44" t="s">
        <v>24</v>
      </c>
      <c r="AA6" s="45"/>
      <c r="AB6" s="14">
        <f>AB5/10</f>
        <v>8640</v>
      </c>
      <c r="AC6" s="10"/>
    </row>
    <row r="7" spans="1:29" ht="15.6" x14ac:dyDescent="0.3">
      <c r="A7" s="41" t="s">
        <v>31</v>
      </c>
      <c r="B7" s="39"/>
      <c r="C7" s="39" t="s">
        <v>10</v>
      </c>
      <c r="D7" s="39"/>
      <c r="E7" s="2" t="s">
        <v>16</v>
      </c>
      <c r="F7" s="1" t="s">
        <v>48</v>
      </c>
      <c r="G7" s="51">
        <v>9000</v>
      </c>
      <c r="H7" s="51"/>
      <c r="I7" s="6">
        <v>500</v>
      </c>
      <c r="J7" s="6">
        <v>600</v>
      </c>
      <c r="K7" s="6">
        <v>250</v>
      </c>
      <c r="L7" s="51">
        <v>0</v>
      </c>
      <c r="M7" s="51"/>
      <c r="N7" s="49">
        <f t="shared" si="0"/>
        <v>10350</v>
      </c>
      <c r="O7" s="50"/>
      <c r="P7" s="49">
        <f t="shared" si="1"/>
        <v>1940.625</v>
      </c>
      <c r="Q7" s="50"/>
      <c r="R7" s="51">
        <f t="shared" si="2"/>
        <v>10350</v>
      </c>
      <c r="S7" s="51"/>
      <c r="T7" s="39" t="s">
        <v>20</v>
      </c>
      <c r="U7" s="39"/>
      <c r="V7" s="39" t="s">
        <v>90</v>
      </c>
      <c r="W7" s="48"/>
      <c r="X7" s="10"/>
      <c r="Y7" s="10"/>
      <c r="Z7" s="44" t="s">
        <v>25</v>
      </c>
      <c r="AA7" s="45"/>
      <c r="AB7" s="14">
        <v>12450</v>
      </c>
      <c r="AC7" s="10"/>
    </row>
    <row r="8" spans="1:29" ht="16.2" thickBot="1" x14ac:dyDescent="0.35">
      <c r="A8" s="41" t="s">
        <v>32</v>
      </c>
      <c r="B8" s="39"/>
      <c r="C8" s="39" t="s">
        <v>11</v>
      </c>
      <c r="D8" s="39"/>
      <c r="E8" s="2" t="s">
        <v>16</v>
      </c>
      <c r="F8" s="1" t="s">
        <v>48</v>
      </c>
      <c r="G8" s="51">
        <v>9000</v>
      </c>
      <c r="H8" s="51"/>
      <c r="I8" s="6">
        <v>1000</v>
      </c>
      <c r="J8" s="6">
        <v>600</v>
      </c>
      <c r="K8" s="6">
        <v>0</v>
      </c>
      <c r="L8" s="51">
        <v>150</v>
      </c>
      <c r="M8" s="51"/>
      <c r="N8" s="49">
        <f t="shared" si="0"/>
        <v>10600</v>
      </c>
      <c r="O8" s="50"/>
      <c r="P8" s="49">
        <f t="shared" si="1"/>
        <v>1987.5</v>
      </c>
      <c r="Q8" s="50"/>
      <c r="R8" s="51">
        <f t="shared" si="2"/>
        <v>10450</v>
      </c>
      <c r="S8" s="51"/>
      <c r="T8" s="39" t="s">
        <v>18</v>
      </c>
      <c r="U8" s="39"/>
      <c r="V8" s="39" t="s">
        <v>21</v>
      </c>
      <c r="W8" s="48"/>
      <c r="X8" s="10"/>
      <c r="Y8" s="10"/>
      <c r="Z8" s="46" t="s">
        <v>26</v>
      </c>
      <c r="AA8" s="47"/>
      <c r="AB8" s="15">
        <v>8200</v>
      </c>
      <c r="AC8" s="10"/>
    </row>
    <row r="9" spans="1:29" x14ac:dyDescent="0.3">
      <c r="A9" s="41" t="s">
        <v>33</v>
      </c>
      <c r="B9" s="39"/>
      <c r="C9" s="39" t="s">
        <v>12</v>
      </c>
      <c r="D9" s="39"/>
      <c r="E9" s="2" t="s">
        <v>16</v>
      </c>
      <c r="F9" s="1" t="s">
        <v>48</v>
      </c>
      <c r="G9" s="51">
        <v>9000</v>
      </c>
      <c r="H9" s="51"/>
      <c r="I9" s="6">
        <v>800</v>
      </c>
      <c r="J9" s="6">
        <v>600</v>
      </c>
      <c r="K9" s="6">
        <v>350</v>
      </c>
      <c r="L9" s="51">
        <v>100</v>
      </c>
      <c r="M9" s="51"/>
      <c r="N9" s="49">
        <f t="shared" si="0"/>
        <v>10750</v>
      </c>
      <c r="O9" s="50"/>
      <c r="P9" s="49">
        <f t="shared" si="1"/>
        <v>2015.625</v>
      </c>
      <c r="Q9" s="50"/>
      <c r="R9" s="51">
        <f t="shared" si="2"/>
        <v>10650</v>
      </c>
      <c r="S9" s="51"/>
      <c r="T9" s="39" t="s">
        <v>17</v>
      </c>
      <c r="U9" s="39"/>
      <c r="V9" s="39" t="s">
        <v>21</v>
      </c>
      <c r="W9" s="48"/>
      <c r="X9" s="10"/>
      <c r="Y9" s="10"/>
      <c r="Z9" s="10"/>
      <c r="AA9" s="10"/>
      <c r="AB9" s="10"/>
      <c r="AC9" s="10"/>
    </row>
    <row r="10" spans="1:29" x14ac:dyDescent="0.3">
      <c r="A10" s="41" t="s">
        <v>34</v>
      </c>
      <c r="B10" s="39"/>
      <c r="C10" s="39" t="s">
        <v>13</v>
      </c>
      <c r="D10" s="39"/>
      <c r="E10" s="2" t="s">
        <v>16</v>
      </c>
      <c r="F10" s="1" t="s">
        <v>50</v>
      </c>
      <c r="G10" s="51">
        <v>9800</v>
      </c>
      <c r="H10" s="51"/>
      <c r="I10" s="6">
        <v>1000</v>
      </c>
      <c r="J10" s="6">
        <v>700</v>
      </c>
      <c r="K10" s="6">
        <v>0</v>
      </c>
      <c r="L10" s="51">
        <v>0</v>
      </c>
      <c r="M10" s="51"/>
      <c r="N10" s="49">
        <f t="shared" si="0"/>
        <v>11500</v>
      </c>
      <c r="O10" s="50"/>
      <c r="P10" s="49">
        <f t="shared" si="1"/>
        <v>2156.25</v>
      </c>
      <c r="Q10" s="50"/>
      <c r="R10" s="51">
        <f t="shared" si="2"/>
        <v>11500</v>
      </c>
      <c r="S10" s="51"/>
      <c r="T10" s="39" t="s">
        <v>19</v>
      </c>
      <c r="U10" s="39"/>
      <c r="V10" s="39" t="s">
        <v>90</v>
      </c>
      <c r="W10" s="48"/>
      <c r="X10" s="10"/>
      <c r="Y10" s="10"/>
      <c r="Z10" s="10"/>
      <c r="AA10" s="10"/>
      <c r="AB10" s="10"/>
      <c r="AC10" s="10"/>
    </row>
    <row r="11" spans="1:29" x14ac:dyDescent="0.3">
      <c r="A11" s="41" t="s">
        <v>35</v>
      </c>
      <c r="B11" s="39"/>
      <c r="C11" s="39" t="s">
        <v>14</v>
      </c>
      <c r="D11" s="39"/>
      <c r="E11" s="2" t="s">
        <v>16</v>
      </c>
      <c r="F11" s="1" t="s">
        <v>50</v>
      </c>
      <c r="G11" s="51">
        <v>9800</v>
      </c>
      <c r="H11" s="51"/>
      <c r="I11" s="6">
        <v>1000</v>
      </c>
      <c r="J11" s="6">
        <v>700</v>
      </c>
      <c r="K11" s="6">
        <v>300</v>
      </c>
      <c r="L11" s="51">
        <v>250</v>
      </c>
      <c r="M11" s="51"/>
      <c r="N11" s="49">
        <f t="shared" si="0"/>
        <v>11800</v>
      </c>
      <c r="O11" s="50"/>
      <c r="P11" s="49">
        <f t="shared" si="1"/>
        <v>2212.5</v>
      </c>
      <c r="Q11" s="50"/>
      <c r="R11" s="51">
        <f t="shared" si="2"/>
        <v>11550</v>
      </c>
      <c r="S11" s="51"/>
      <c r="T11" s="39" t="s">
        <v>20</v>
      </c>
      <c r="U11" s="39"/>
      <c r="V11" s="39" t="s">
        <v>21</v>
      </c>
      <c r="W11" s="48"/>
      <c r="X11" s="10"/>
      <c r="Y11" s="10"/>
      <c r="Z11" s="10"/>
      <c r="AA11" s="10"/>
      <c r="AB11" s="10"/>
      <c r="AC11" s="10"/>
    </row>
    <row r="12" spans="1:29" ht="15" thickBot="1" x14ac:dyDescent="0.35">
      <c r="A12" s="59" t="s">
        <v>36</v>
      </c>
      <c r="B12" s="60"/>
      <c r="C12" s="60" t="s">
        <v>15</v>
      </c>
      <c r="D12" s="60"/>
      <c r="E12" s="4" t="s">
        <v>16</v>
      </c>
      <c r="F12" s="3" t="s">
        <v>49</v>
      </c>
      <c r="G12" s="61">
        <v>10000</v>
      </c>
      <c r="H12" s="61"/>
      <c r="I12" s="7">
        <v>1500</v>
      </c>
      <c r="J12" s="7">
        <v>800</v>
      </c>
      <c r="K12" s="7">
        <v>150</v>
      </c>
      <c r="L12" s="61">
        <v>0</v>
      </c>
      <c r="M12" s="61"/>
      <c r="N12" s="62">
        <f t="shared" si="0"/>
        <v>12450</v>
      </c>
      <c r="O12" s="63"/>
      <c r="P12" s="62">
        <f t="shared" si="1"/>
        <v>2334.375</v>
      </c>
      <c r="Q12" s="63"/>
      <c r="R12" s="61">
        <f t="shared" si="2"/>
        <v>12450</v>
      </c>
      <c r="S12" s="61"/>
      <c r="T12" s="60" t="s">
        <v>18</v>
      </c>
      <c r="U12" s="60"/>
      <c r="V12" s="60" t="s">
        <v>21</v>
      </c>
      <c r="W12" s="64"/>
      <c r="X12" s="10"/>
      <c r="Y12" s="10"/>
      <c r="Z12" s="10"/>
      <c r="AA12" s="10"/>
      <c r="AB12" s="10"/>
      <c r="AC12" s="10"/>
    </row>
    <row r="13" spans="1:29" x14ac:dyDescent="0.3">
      <c r="K13" t="s">
        <v>42</v>
      </c>
      <c r="M13" t="s">
        <v>43</v>
      </c>
    </row>
    <row r="14" spans="1:29" x14ac:dyDescent="0.3">
      <c r="J14" t="s">
        <v>22</v>
      </c>
      <c r="M14" t="s">
        <v>42</v>
      </c>
    </row>
  </sheetData>
  <mergeCells count="104">
    <mergeCell ref="T12:U12"/>
    <mergeCell ref="T11:U11"/>
    <mergeCell ref="T10:U10"/>
    <mergeCell ref="T9:U9"/>
    <mergeCell ref="T8:U8"/>
    <mergeCell ref="V4:W4"/>
    <mergeCell ref="V3:W3"/>
    <mergeCell ref="V12:W12"/>
    <mergeCell ref="V11:W11"/>
    <mergeCell ref="V10:W10"/>
    <mergeCell ref="V9:W9"/>
    <mergeCell ref="V8:W8"/>
    <mergeCell ref="V7:W7"/>
    <mergeCell ref="G12:H12"/>
    <mergeCell ref="G11:H11"/>
    <mergeCell ref="G10:H10"/>
    <mergeCell ref="G9:H9"/>
    <mergeCell ref="G8:H8"/>
    <mergeCell ref="G7:H7"/>
    <mergeCell ref="G6:H6"/>
    <mergeCell ref="R12:S12"/>
    <mergeCell ref="R11:S11"/>
    <mergeCell ref="R10:S10"/>
    <mergeCell ref="R9:S9"/>
    <mergeCell ref="L12:M12"/>
    <mergeCell ref="L10:M10"/>
    <mergeCell ref="L9:M9"/>
    <mergeCell ref="L8:M8"/>
    <mergeCell ref="L7:M7"/>
    <mergeCell ref="R8:S8"/>
    <mergeCell ref="R7:S7"/>
    <mergeCell ref="R6:S6"/>
    <mergeCell ref="N12:O12"/>
    <mergeCell ref="P12:Q12"/>
    <mergeCell ref="A12:B1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A3:B3"/>
    <mergeCell ref="A4:B4"/>
    <mergeCell ref="A5:B5"/>
    <mergeCell ref="A6:B6"/>
    <mergeCell ref="A7:B7"/>
    <mergeCell ref="A8:B8"/>
    <mergeCell ref="C12:D12"/>
    <mergeCell ref="A11:B11"/>
    <mergeCell ref="A1:AC1"/>
    <mergeCell ref="A2:B2"/>
    <mergeCell ref="C2:D2"/>
    <mergeCell ref="G2:H2"/>
    <mergeCell ref="L2:M2"/>
    <mergeCell ref="R2:S2"/>
    <mergeCell ref="T2:U2"/>
    <mergeCell ref="V2:W2"/>
    <mergeCell ref="L3:M3"/>
    <mergeCell ref="N2:O2"/>
    <mergeCell ref="P2:Q2"/>
    <mergeCell ref="L4:M4"/>
    <mergeCell ref="L5:M5"/>
    <mergeCell ref="L6:M6"/>
    <mergeCell ref="L11:M11"/>
    <mergeCell ref="R4:S4"/>
    <mergeCell ref="G3:H3"/>
    <mergeCell ref="G4:H4"/>
    <mergeCell ref="G5:H5"/>
    <mergeCell ref="T3:U3"/>
    <mergeCell ref="T6:U6"/>
    <mergeCell ref="T5:U5"/>
    <mergeCell ref="T4:U4"/>
    <mergeCell ref="R3:S3"/>
    <mergeCell ref="R5:S5"/>
    <mergeCell ref="N3:O3"/>
    <mergeCell ref="N4:O4"/>
    <mergeCell ref="N11:O11"/>
    <mergeCell ref="P4:Q4"/>
    <mergeCell ref="P3:Q3"/>
    <mergeCell ref="P11:Q11"/>
    <mergeCell ref="Z5:AA5"/>
    <mergeCell ref="Z6:AA6"/>
    <mergeCell ref="Z8:AA8"/>
    <mergeCell ref="Z7:AA7"/>
    <mergeCell ref="A9:B9"/>
    <mergeCell ref="T7:U7"/>
    <mergeCell ref="V6:W6"/>
    <mergeCell ref="V5:W5"/>
    <mergeCell ref="A10:B10"/>
    <mergeCell ref="N10:O10"/>
    <mergeCell ref="N9:O9"/>
    <mergeCell ref="N5:O5"/>
    <mergeCell ref="N6:O6"/>
    <mergeCell ref="N7:O7"/>
    <mergeCell ref="N8:O8"/>
    <mergeCell ref="P10:Q10"/>
    <mergeCell ref="P9:Q9"/>
    <mergeCell ref="P5:Q5"/>
    <mergeCell ref="P6:Q6"/>
    <mergeCell ref="P7:Q7"/>
    <mergeCell ref="P8:Q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3823-354E-4ACA-B439-049B041E23C0}">
  <dimension ref="A1:EB13"/>
  <sheetViews>
    <sheetView zoomScale="96" workbookViewId="0">
      <selection activeCell="AW15" sqref="AW15"/>
    </sheetView>
  </sheetViews>
  <sheetFormatPr defaultRowHeight="14.4" x14ac:dyDescent="0.3"/>
  <cols>
    <col min="6" max="6" width="18.109375" customWidth="1"/>
    <col min="12" max="12" width="11.5546875" customWidth="1"/>
    <col min="18" max="19" width="14" customWidth="1"/>
    <col min="20" max="20" width="16.77734375" customWidth="1"/>
    <col min="21" max="21" width="14" customWidth="1"/>
    <col min="22" max="24" width="17" customWidth="1"/>
    <col min="25" max="25" width="20.44140625" customWidth="1"/>
    <col min="26" max="26" width="20.21875" customWidth="1"/>
    <col min="27" max="27" width="13" customWidth="1"/>
    <col min="28" max="28" width="19.77734375" customWidth="1"/>
    <col min="29" max="29" width="22.6640625" customWidth="1"/>
    <col min="30" max="30" width="17.88671875" customWidth="1"/>
    <col min="31" max="31" width="19.6640625" customWidth="1"/>
    <col min="32" max="34" width="8.88671875" customWidth="1"/>
    <col min="35" max="35" width="19" customWidth="1"/>
    <col min="37" max="37" width="14.21875" customWidth="1"/>
    <col min="38" max="40" width="20.77734375" customWidth="1"/>
    <col min="41" max="41" width="14.33203125" customWidth="1"/>
    <col min="44" max="44" width="17" customWidth="1"/>
    <col min="46" max="46" width="12.44140625" customWidth="1"/>
    <col min="51" max="51" width="15.21875" customWidth="1"/>
  </cols>
  <sheetData>
    <row r="1" spans="1:132" ht="21.6" thickBot="1" x14ac:dyDescent="0.45">
      <c r="A1" s="70" t="s">
        <v>93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V1" s="35" t="s">
        <v>96</v>
      </c>
      <c r="W1" s="35"/>
      <c r="X1" s="35"/>
      <c r="Y1" s="35"/>
      <c r="Z1" s="35"/>
      <c r="AA1" s="35"/>
      <c r="AB1" s="35"/>
      <c r="AC1" s="35"/>
      <c r="AD1" s="35"/>
      <c r="AE1" s="35"/>
      <c r="AG1" s="35" t="s">
        <v>61</v>
      </c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10"/>
      <c r="AV1" s="10"/>
      <c r="AW1" s="10"/>
      <c r="AX1" s="10"/>
      <c r="AY1" s="10"/>
    </row>
    <row r="2" spans="1:132" s="9" customFormat="1" ht="15.6" x14ac:dyDescent="0.3">
      <c r="A2" s="72" t="s">
        <v>1</v>
      </c>
      <c r="B2" s="55"/>
      <c r="C2" s="55" t="s">
        <v>52</v>
      </c>
      <c r="D2" s="55"/>
      <c r="E2" s="55" t="s">
        <v>53</v>
      </c>
      <c r="F2" s="55"/>
      <c r="G2" s="55" t="s">
        <v>54</v>
      </c>
      <c r="H2" s="55"/>
      <c r="I2" s="55"/>
      <c r="J2" s="55" t="s">
        <v>55</v>
      </c>
      <c r="K2" s="55"/>
      <c r="L2" s="55"/>
      <c r="M2" s="55" t="s">
        <v>56</v>
      </c>
      <c r="N2" s="55"/>
      <c r="O2" s="55"/>
      <c r="P2" s="79" t="s">
        <v>59</v>
      </c>
      <c r="Q2" s="79"/>
      <c r="R2" s="79"/>
      <c r="S2" s="5" t="s">
        <v>60</v>
      </c>
      <c r="T2" s="18" t="s">
        <v>94</v>
      </c>
      <c r="U2"/>
      <c r="V2" s="72" t="s">
        <v>1</v>
      </c>
      <c r="W2" s="55"/>
      <c r="X2" s="55" t="s">
        <v>52</v>
      </c>
      <c r="Y2" s="55"/>
      <c r="Z2" s="5" t="s">
        <v>85</v>
      </c>
      <c r="AA2" s="5" t="s">
        <v>86</v>
      </c>
      <c r="AB2" s="5" t="s">
        <v>95</v>
      </c>
      <c r="AC2" s="5" t="s">
        <v>87</v>
      </c>
      <c r="AD2" s="5" t="s">
        <v>88</v>
      </c>
      <c r="AE2" s="18" t="s">
        <v>89</v>
      </c>
      <c r="AF2"/>
      <c r="AG2" s="69" t="s">
        <v>1</v>
      </c>
      <c r="AH2" s="67"/>
      <c r="AI2" s="67" t="s">
        <v>52</v>
      </c>
      <c r="AJ2" s="67"/>
      <c r="AK2" s="26" t="s">
        <v>94</v>
      </c>
      <c r="AL2" s="26" t="s">
        <v>89</v>
      </c>
      <c r="AM2" s="26" t="s">
        <v>99</v>
      </c>
      <c r="AN2" s="26" t="s">
        <v>100</v>
      </c>
      <c r="AO2" s="26" t="s">
        <v>97</v>
      </c>
      <c r="AP2" s="67" t="s">
        <v>57</v>
      </c>
      <c r="AQ2" s="67"/>
      <c r="AR2" s="26" t="s">
        <v>98</v>
      </c>
      <c r="AS2" s="67" t="s">
        <v>58</v>
      </c>
      <c r="AT2" s="68"/>
      <c r="AU2" s="10"/>
      <c r="AV2" s="65" t="s">
        <v>61</v>
      </c>
      <c r="AW2" s="65"/>
      <c r="AX2" s="65"/>
      <c r="AY2" s="65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</row>
    <row r="3" spans="1:132" x14ac:dyDescent="0.3">
      <c r="A3" s="41" t="s">
        <v>27</v>
      </c>
      <c r="B3" s="39"/>
      <c r="C3" s="39" t="s">
        <v>6</v>
      </c>
      <c r="D3" s="39"/>
      <c r="E3" s="39">
        <v>84</v>
      </c>
      <c r="F3" s="39"/>
      <c r="G3" s="77">
        <v>80</v>
      </c>
      <c r="H3" s="77"/>
      <c r="I3" s="77"/>
      <c r="J3" s="39">
        <v>95</v>
      </c>
      <c r="K3" s="39"/>
      <c r="L3" s="39"/>
      <c r="M3" s="39">
        <v>94</v>
      </c>
      <c r="N3" s="39"/>
      <c r="O3" s="39"/>
      <c r="P3" s="74">
        <v>6</v>
      </c>
      <c r="Q3" s="74"/>
      <c r="R3" s="74"/>
      <c r="S3" s="6">
        <f>IF((6/P3)*100&gt;100,100,(6/P3)*100)</f>
        <v>100</v>
      </c>
      <c r="T3" s="24">
        <f>E3*30%+G3*25%+J3*15%+M3*15%+S3*15%</f>
        <v>88.55</v>
      </c>
      <c r="V3" s="41" t="s">
        <v>27</v>
      </c>
      <c r="W3" s="39"/>
      <c r="X3" s="39" t="s">
        <v>6</v>
      </c>
      <c r="Y3" s="39"/>
      <c r="Z3" s="1">
        <v>5</v>
      </c>
      <c r="AA3" s="1">
        <v>4</v>
      </c>
      <c r="AB3" s="1">
        <v>5</v>
      </c>
      <c r="AC3" s="1">
        <v>5</v>
      </c>
      <c r="AD3" s="1">
        <v>4</v>
      </c>
      <c r="AE3" s="24">
        <f>((Z3+AA3+AB3+AC3+AD3)/5)*20</f>
        <v>92</v>
      </c>
      <c r="AG3" s="41" t="s">
        <v>27</v>
      </c>
      <c r="AH3" s="39"/>
      <c r="AI3" s="39" t="s">
        <v>6</v>
      </c>
      <c r="AJ3" s="39"/>
      <c r="AK3" s="6">
        <f>T3</f>
        <v>88.55</v>
      </c>
      <c r="AL3" s="6">
        <f>AE3</f>
        <v>92</v>
      </c>
      <c r="AM3" s="6" t="str">
        <f>IF(T3&gt;=90,"High",IF(T3&gt;=80,"Medium","Low"))</f>
        <v>Medium</v>
      </c>
      <c r="AN3" s="6" t="str">
        <f>IF(AE3&gt;=90,"High",IF(AE3&gt;=80,"Medium","Low"))</f>
        <v>High</v>
      </c>
      <c r="AO3" s="6">
        <f>(AL3*50%)+(AK3*50%)</f>
        <v>90.275000000000006</v>
      </c>
      <c r="AP3" s="39" t="str">
        <f>IF(AO3&gt;=90,"Excellent",IF(AO3&gt;=80,"Very Good",IF(AO3&gt;=70,"Good",IF(AO3&gt;=60,"Fair","Poor"))))</f>
        <v>Excellent</v>
      </c>
      <c r="AQ3" s="39"/>
      <c r="AR3" s="1" t="str">
        <f>IF(AND(AM3="High",AN3="High"),"Top Talent",IF(AND(AM3="Medium",AN3="High"),"Future Leader",IF(AND(AM3="Low",AN3="High"),"Develop Talent",IF(AND(AM3="High",AN3="Medium"),"High Performance",IF(AND(AM3="Medium",AN3="Medium"),"Core Employee",IF(AND(AM3="Low",AN3="Medium"),"Improve Performance",IF(AND(AM3="High",AN3="Low"),"Specialist",IF(AND(AM3="Medium",AN3="Low"),"Inconsistent Performer","Performance Improvement"))))))))</f>
        <v>Future Leader</v>
      </c>
      <c r="AS3" s="39" t="str">
        <f>IF(AR3="Top Talent","Promote",IF(AR3="Future Leader","Develop",IF(AR3="Develop Talent","Train",IF(AR3="High Performance","Reward",IF(AR3="Core Employee","Maintain",IF(AR3="Improve Performance","Coach",IF(AR3="Specialist","Retain",IF(AR3="Inconsistent Performer","Monitor","Performance Improvement Plan"))))))))</f>
        <v>Develop</v>
      </c>
      <c r="AT3" s="48"/>
      <c r="AU3" s="10"/>
      <c r="AV3" s="66" t="s">
        <v>62</v>
      </c>
      <c r="AW3" s="66"/>
      <c r="AX3" s="66"/>
      <c r="AY3" s="17">
        <f>COUNTIF(AP3:AP12,"Excellent")</f>
        <v>8</v>
      </c>
    </row>
    <row r="4" spans="1:132" x14ac:dyDescent="0.3">
      <c r="A4" s="41" t="s">
        <v>28</v>
      </c>
      <c r="B4" s="39"/>
      <c r="C4" s="39" t="s">
        <v>7</v>
      </c>
      <c r="D4" s="39"/>
      <c r="E4" s="39">
        <v>78</v>
      </c>
      <c r="F4" s="39"/>
      <c r="G4" s="77">
        <v>75</v>
      </c>
      <c r="H4" s="77"/>
      <c r="I4" s="77"/>
      <c r="J4" s="39">
        <v>91</v>
      </c>
      <c r="K4" s="39"/>
      <c r="L4" s="39"/>
      <c r="M4" s="39">
        <v>90</v>
      </c>
      <c r="N4" s="39"/>
      <c r="O4" s="39"/>
      <c r="P4" s="74">
        <v>6.8</v>
      </c>
      <c r="Q4" s="74"/>
      <c r="R4" s="74"/>
      <c r="S4" s="6">
        <f t="shared" ref="S4:S12" si="0">IF((6/P4)*100&gt;100,100,(6/P4)*100)</f>
        <v>88.235294117647058</v>
      </c>
      <c r="T4" s="24">
        <f t="shared" ref="T4:T12" si="1">E4*30%+G4*25%+J4*15%+M4*15%+S4*15%</f>
        <v>82.535294117647055</v>
      </c>
      <c r="V4" s="41" t="s">
        <v>28</v>
      </c>
      <c r="W4" s="39"/>
      <c r="X4" s="39" t="s">
        <v>7</v>
      </c>
      <c r="Y4" s="39"/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24">
        <f t="shared" ref="AE4:AE12" si="2">((Z4+AA4+AB4+AC4+AD4)/5)*20</f>
        <v>80</v>
      </c>
      <c r="AG4" s="41" t="s">
        <v>28</v>
      </c>
      <c r="AH4" s="39"/>
      <c r="AI4" s="39" t="s">
        <v>7</v>
      </c>
      <c r="AJ4" s="39"/>
      <c r="AK4" s="6">
        <f t="shared" ref="AK4:AK12" si="3">T4</f>
        <v>82.535294117647055</v>
      </c>
      <c r="AL4" s="6">
        <f t="shared" ref="AL4:AL12" si="4">AE4</f>
        <v>80</v>
      </c>
      <c r="AM4" s="6" t="str">
        <f t="shared" ref="AM4:AM12" si="5">IF(T4&gt;=90,"High",IF(T4&gt;=80,"Medium","Low"))</f>
        <v>Medium</v>
      </c>
      <c r="AN4" s="6" t="str">
        <f t="shared" ref="AN4:AN12" si="6">IF(AE4&gt;=90,"High",IF(AE4&gt;=80,"Medium","Low"))</f>
        <v>Medium</v>
      </c>
      <c r="AO4" s="6">
        <f t="shared" ref="AO4:AO12" si="7">(AL4*50%)+(AK4*50%)</f>
        <v>81.267647058823528</v>
      </c>
      <c r="AP4" s="39" t="str">
        <f t="shared" ref="AP4:AP12" si="8">IF(AO4&gt;=90,"Excellent",IF(AO4&gt;=80,"Very Good",IF(AO4&gt;=70,"Good",IF(AO4&gt;=60,"Fair","Poor"))))</f>
        <v>Very Good</v>
      </c>
      <c r="AQ4" s="39"/>
      <c r="AR4" s="1" t="str">
        <f t="shared" ref="AR4:AR12" si="9">IF(AND(AM4="High",AN4="High"),"Top Talent",IF(AND(AM4="Medium",AN4="High"),"Future Leader",IF(AND(AM4="Low",AN4="High"),"Develop Talent",IF(AND(AM4="High",AN4="Medium"),"High Performance",IF(AND(AM4="Medium",AN4="Medium"),"Core Employee",IF(AND(AM4="Low",AN4="Medium"),"Improve Performance",IF(AND(AM4="High",AN4="Low"),"Specialist",IF(AND(AM4="Medium",AN4="Low"),"Inconsistent Performer","Performance Improvement"))))))))</f>
        <v>Core Employee</v>
      </c>
      <c r="AS4" s="39" t="str">
        <f t="shared" ref="AS4:AS12" si="10">IF(AR4="Top Talent","Promote",IF(AR4="Future Leader","Develop",IF(AR4="Develop Talent","Train",IF(AR4="High Performance","Reward",IF(AR4="Core Employee","Maintain",IF(AR4="Improve Performance","Coach",IF(AR4="Specialist","Retain",IF(AR4="Inconsistent Performer","Monitor","Performance Improvement Plan"))))))))</f>
        <v>Maintain</v>
      </c>
      <c r="AT4" s="48"/>
      <c r="AU4" s="10"/>
      <c r="AV4" s="66" t="s">
        <v>103</v>
      </c>
      <c r="AW4" s="66"/>
      <c r="AX4" s="66"/>
      <c r="AY4" s="17">
        <f>COUNTIF(AP3:AP12,"Very Good")</f>
        <v>2</v>
      </c>
    </row>
    <row r="5" spans="1:132" x14ac:dyDescent="0.3">
      <c r="A5" s="41" t="s">
        <v>29</v>
      </c>
      <c r="B5" s="39"/>
      <c r="C5" s="39" t="s">
        <v>8</v>
      </c>
      <c r="D5" s="39"/>
      <c r="E5" s="39">
        <v>87</v>
      </c>
      <c r="F5" s="39"/>
      <c r="G5" s="77">
        <v>84</v>
      </c>
      <c r="H5" s="77"/>
      <c r="I5" s="77"/>
      <c r="J5" s="39">
        <v>96</v>
      </c>
      <c r="K5" s="39"/>
      <c r="L5" s="39"/>
      <c r="M5" s="39">
        <v>95</v>
      </c>
      <c r="N5" s="39"/>
      <c r="O5" s="39"/>
      <c r="P5" s="74">
        <v>5.9</v>
      </c>
      <c r="Q5" s="74"/>
      <c r="R5" s="74"/>
      <c r="S5" s="6">
        <f t="shared" si="0"/>
        <v>100</v>
      </c>
      <c r="T5" s="24">
        <f t="shared" si="1"/>
        <v>90.75</v>
      </c>
      <c r="V5" s="41" t="s">
        <v>29</v>
      </c>
      <c r="W5" s="39"/>
      <c r="X5" s="39" t="s">
        <v>8</v>
      </c>
      <c r="Y5" s="39"/>
      <c r="Z5" s="1">
        <v>4</v>
      </c>
      <c r="AA5" s="1">
        <v>3</v>
      </c>
      <c r="AB5" s="1">
        <v>4</v>
      </c>
      <c r="AC5" s="1">
        <v>4</v>
      </c>
      <c r="AD5" s="1">
        <v>4</v>
      </c>
      <c r="AE5" s="24">
        <f t="shared" si="2"/>
        <v>76</v>
      </c>
      <c r="AG5" s="41" t="s">
        <v>29</v>
      </c>
      <c r="AH5" s="39"/>
      <c r="AI5" s="39" t="s">
        <v>8</v>
      </c>
      <c r="AJ5" s="39"/>
      <c r="AK5" s="6">
        <f t="shared" si="3"/>
        <v>90.75</v>
      </c>
      <c r="AL5" s="6">
        <f t="shared" si="4"/>
        <v>76</v>
      </c>
      <c r="AM5" s="6" t="str">
        <f t="shared" si="5"/>
        <v>High</v>
      </c>
      <c r="AN5" s="6" t="str">
        <f t="shared" si="6"/>
        <v>Low</v>
      </c>
      <c r="AO5" s="6">
        <f t="shared" si="7"/>
        <v>83.375</v>
      </c>
      <c r="AP5" s="39" t="str">
        <f t="shared" si="8"/>
        <v>Very Good</v>
      </c>
      <c r="AQ5" s="39"/>
      <c r="AR5" s="1" t="str">
        <f t="shared" si="9"/>
        <v>Specialist</v>
      </c>
      <c r="AS5" s="39" t="str">
        <f t="shared" si="10"/>
        <v>Retain</v>
      </c>
      <c r="AT5" s="48"/>
      <c r="AU5" s="10"/>
      <c r="AV5" s="66" t="s">
        <v>63</v>
      </c>
      <c r="AW5" s="66"/>
      <c r="AX5" s="66"/>
      <c r="AY5" s="17">
        <f>COUNTIF(AP3:AP12,"Good")</f>
        <v>0</v>
      </c>
    </row>
    <row r="6" spans="1:132" x14ac:dyDescent="0.3">
      <c r="A6" s="41" t="s">
        <v>30</v>
      </c>
      <c r="B6" s="39"/>
      <c r="C6" s="39" t="s">
        <v>9</v>
      </c>
      <c r="D6" s="39"/>
      <c r="E6" s="39">
        <v>91</v>
      </c>
      <c r="F6" s="39"/>
      <c r="G6" s="77">
        <v>88</v>
      </c>
      <c r="H6" s="77"/>
      <c r="I6" s="77"/>
      <c r="J6" s="39">
        <v>97</v>
      </c>
      <c r="K6" s="39"/>
      <c r="L6" s="39"/>
      <c r="M6" s="39">
        <v>96</v>
      </c>
      <c r="N6" s="39"/>
      <c r="O6" s="39"/>
      <c r="P6" s="74">
        <v>5.7</v>
      </c>
      <c r="Q6" s="74"/>
      <c r="R6" s="74"/>
      <c r="S6" s="6">
        <f t="shared" si="0"/>
        <v>100</v>
      </c>
      <c r="T6" s="24">
        <f t="shared" si="1"/>
        <v>93.25</v>
      </c>
      <c r="V6" s="41" t="s">
        <v>30</v>
      </c>
      <c r="W6" s="39"/>
      <c r="X6" s="39" t="s">
        <v>9</v>
      </c>
      <c r="Y6" s="39"/>
      <c r="Z6" s="1">
        <v>5</v>
      </c>
      <c r="AA6" s="1">
        <v>5</v>
      </c>
      <c r="AB6" s="1">
        <v>5</v>
      </c>
      <c r="AC6" s="1">
        <v>4</v>
      </c>
      <c r="AD6" s="1">
        <v>5</v>
      </c>
      <c r="AE6" s="24">
        <f t="shared" si="2"/>
        <v>96</v>
      </c>
      <c r="AG6" s="41" t="s">
        <v>30</v>
      </c>
      <c r="AH6" s="39"/>
      <c r="AI6" s="39" t="s">
        <v>9</v>
      </c>
      <c r="AJ6" s="39"/>
      <c r="AK6" s="6">
        <f t="shared" si="3"/>
        <v>93.25</v>
      </c>
      <c r="AL6" s="6">
        <f t="shared" si="4"/>
        <v>96</v>
      </c>
      <c r="AM6" s="6" t="str">
        <f t="shared" si="5"/>
        <v>High</v>
      </c>
      <c r="AN6" s="6" t="str">
        <f t="shared" si="6"/>
        <v>High</v>
      </c>
      <c r="AO6" s="6">
        <f t="shared" si="7"/>
        <v>94.625</v>
      </c>
      <c r="AP6" s="39" t="str">
        <f t="shared" si="8"/>
        <v>Excellent</v>
      </c>
      <c r="AQ6" s="39"/>
      <c r="AR6" s="1" t="str">
        <f t="shared" si="9"/>
        <v>Top Talent</v>
      </c>
      <c r="AS6" s="39" t="str">
        <f t="shared" si="10"/>
        <v>Promote</v>
      </c>
      <c r="AT6" s="48"/>
      <c r="AU6" s="10"/>
      <c r="AV6" s="66" t="s">
        <v>101</v>
      </c>
      <c r="AW6" s="66"/>
      <c r="AX6" s="66"/>
      <c r="AY6" s="17">
        <f>COUNTIF(AP3:AP12,"Fair")</f>
        <v>0</v>
      </c>
    </row>
    <row r="7" spans="1:132" x14ac:dyDescent="0.3">
      <c r="A7" s="41" t="s">
        <v>31</v>
      </c>
      <c r="B7" s="39"/>
      <c r="C7" s="39" t="s">
        <v>10</v>
      </c>
      <c r="D7" s="39"/>
      <c r="E7" s="39">
        <v>95</v>
      </c>
      <c r="F7" s="39"/>
      <c r="G7" s="77">
        <v>92</v>
      </c>
      <c r="H7" s="77"/>
      <c r="I7" s="77"/>
      <c r="J7" s="39">
        <v>98</v>
      </c>
      <c r="K7" s="39"/>
      <c r="L7" s="39"/>
      <c r="M7" s="39">
        <v>97</v>
      </c>
      <c r="N7" s="39"/>
      <c r="O7" s="39"/>
      <c r="P7" s="74">
        <v>5.4</v>
      </c>
      <c r="Q7" s="74"/>
      <c r="R7" s="74"/>
      <c r="S7" s="6">
        <f t="shared" si="0"/>
        <v>100</v>
      </c>
      <c r="T7" s="24">
        <f t="shared" si="1"/>
        <v>95.75</v>
      </c>
      <c r="V7" s="41" t="s">
        <v>31</v>
      </c>
      <c r="W7" s="39"/>
      <c r="X7" s="39" t="s">
        <v>10</v>
      </c>
      <c r="Y7" s="39"/>
      <c r="Z7" s="1">
        <v>5</v>
      </c>
      <c r="AA7" s="1">
        <v>5</v>
      </c>
      <c r="AB7" s="1">
        <v>5</v>
      </c>
      <c r="AC7" s="1">
        <v>5</v>
      </c>
      <c r="AD7" s="1">
        <v>4</v>
      </c>
      <c r="AE7" s="24">
        <f t="shared" si="2"/>
        <v>96</v>
      </c>
      <c r="AG7" s="41" t="s">
        <v>31</v>
      </c>
      <c r="AH7" s="39"/>
      <c r="AI7" s="39" t="s">
        <v>10</v>
      </c>
      <c r="AJ7" s="39"/>
      <c r="AK7" s="6">
        <f t="shared" si="3"/>
        <v>95.75</v>
      </c>
      <c r="AL7" s="6">
        <f t="shared" si="4"/>
        <v>96</v>
      </c>
      <c r="AM7" s="6" t="str">
        <f t="shared" si="5"/>
        <v>High</v>
      </c>
      <c r="AN7" s="6" t="str">
        <f t="shared" si="6"/>
        <v>High</v>
      </c>
      <c r="AO7" s="6">
        <f t="shared" si="7"/>
        <v>95.875</v>
      </c>
      <c r="AP7" s="39" t="str">
        <f t="shared" si="8"/>
        <v>Excellent</v>
      </c>
      <c r="AQ7" s="39"/>
      <c r="AR7" s="1" t="str">
        <f t="shared" si="9"/>
        <v>Top Talent</v>
      </c>
      <c r="AS7" s="39" t="str">
        <f t="shared" si="10"/>
        <v>Promote</v>
      </c>
      <c r="AT7" s="48"/>
      <c r="AU7" s="10"/>
      <c r="AV7" s="66" t="s">
        <v>102</v>
      </c>
      <c r="AW7" s="66"/>
      <c r="AX7" s="66"/>
      <c r="AY7" s="17">
        <f>COUNTIF(AP3:AP12,"Poor")</f>
        <v>0</v>
      </c>
    </row>
    <row r="8" spans="1:132" x14ac:dyDescent="0.3">
      <c r="A8" s="41" t="s">
        <v>32</v>
      </c>
      <c r="B8" s="39"/>
      <c r="C8" s="39" t="s">
        <v>11</v>
      </c>
      <c r="D8" s="39"/>
      <c r="E8" s="39">
        <v>86</v>
      </c>
      <c r="F8" s="39"/>
      <c r="G8" s="77">
        <v>83</v>
      </c>
      <c r="H8" s="77"/>
      <c r="I8" s="77"/>
      <c r="J8" s="39">
        <v>95</v>
      </c>
      <c r="K8" s="39"/>
      <c r="L8" s="39"/>
      <c r="M8" s="39">
        <v>94</v>
      </c>
      <c r="N8" s="39"/>
      <c r="O8" s="39"/>
      <c r="P8" s="74">
        <v>6.1</v>
      </c>
      <c r="Q8" s="74"/>
      <c r="R8" s="74"/>
      <c r="S8" s="6">
        <f t="shared" si="0"/>
        <v>98.360655737704931</v>
      </c>
      <c r="T8" s="24">
        <f t="shared" si="1"/>
        <v>89.654098360655723</v>
      </c>
      <c r="V8" s="41" t="s">
        <v>32</v>
      </c>
      <c r="W8" s="39"/>
      <c r="X8" s="39" t="s">
        <v>11</v>
      </c>
      <c r="Y8" s="39"/>
      <c r="Z8" s="1">
        <v>5</v>
      </c>
      <c r="AA8" s="1">
        <v>4</v>
      </c>
      <c r="AB8" s="1">
        <v>4</v>
      </c>
      <c r="AC8" s="1">
        <v>5</v>
      </c>
      <c r="AD8" s="1">
        <v>5</v>
      </c>
      <c r="AE8" s="24">
        <f t="shared" si="2"/>
        <v>92</v>
      </c>
      <c r="AG8" s="41" t="s">
        <v>32</v>
      </c>
      <c r="AH8" s="39"/>
      <c r="AI8" s="39" t="s">
        <v>11</v>
      </c>
      <c r="AJ8" s="39"/>
      <c r="AK8" s="6">
        <f t="shared" si="3"/>
        <v>89.654098360655723</v>
      </c>
      <c r="AL8" s="6">
        <f t="shared" si="4"/>
        <v>92</v>
      </c>
      <c r="AM8" s="6" t="str">
        <f t="shared" si="5"/>
        <v>Medium</v>
      </c>
      <c r="AN8" s="6" t="str">
        <f t="shared" si="6"/>
        <v>High</v>
      </c>
      <c r="AO8" s="6">
        <f t="shared" si="7"/>
        <v>90.827049180327862</v>
      </c>
      <c r="AP8" s="39" t="str">
        <f t="shared" si="8"/>
        <v>Excellent</v>
      </c>
      <c r="AQ8" s="39"/>
      <c r="AR8" s="1" t="str">
        <f t="shared" si="9"/>
        <v>Future Leader</v>
      </c>
      <c r="AS8" s="39" t="str">
        <f t="shared" si="10"/>
        <v>Develop</v>
      </c>
      <c r="AT8" s="48"/>
      <c r="AU8" s="10"/>
      <c r="AV8" s="10"/>
      <c r="AW8" s="10"/>
      <c r="AX8" s="10"/>
      <c r="AY8" s="10"/>
    </row>
    <row r="9" spans="1:132" x14ac:dyDescent="0.3">
      <c r="A9" s="41" t="s">
        <v>33</v>
      </c>
      <c r="B9" s="39"/>
      <c r="C9" s="39" t="s">
        <v>12</v>
      </c>
      <c r="D9" s="39"/>
      <c r="E9" s="39">
        <v>90</v>
      </c>
      <c r="F9" s="39"/>
      <c r="G9" s="77">
        <v>87</v>
      </c>
      <c r="H9" s="77"/>
      <c r="I9" s="77"/>
      <c r="J9" s="39">
        <v>97</v>
      </c>
      <c r="K9" s="39"/>
      <c r="L9" s="39"/>
      <c r="M9" s="39">
        <v>96</v>
      </c>
      <c r="N9" s="39"/>
      <c r="O9" s="39"/>
      <c r="P9" s="74">
        <v>5.8</v>
      </c>
      <c r="Q9" s="74"/>
      <c r="R9" s="74"/>
      <c r="S9" s="6">
        <f t="shared" si="0"/>
        <v>100</v>
      </c>
      <c r="T9" s="24">
        <f t="shared" si="1"/>
        <v>92.699999999999989</v>
      </c>
      <c r="V9" s="41" t="s">
        <v>33</v>
      </c>
      <c r="W9" s="39"/>
      <c r="X9" s="39" t="s">
        <v>12</v>
      </c>
      <c r="Y9" s="39"/>
      <c r="Z9" s="1">
        <v>4</v>
      </c>
      <c r="AA9" s="1">
        <v>4</v>
      </c>
      <c r="AB9" s="1">
        <v>5</v>
      </c>
      <c r="AC9" s="1">
        <v>4</v>
      </c>
      <c r="AD9" s="1">
        <v>5</v>
      </c>
      <c r="AE9" s="24">
        <f t="shared" si="2"/>
        <v>88</v>
      </c>
      <c r="AG9" s="41" t="s">
        <v>33</v>
      </c>
      <c r="AH9" s="39"/>
      <c r="AI9" s="39" t="s">
        <v>12</v>
      </c>
      <c r="AJ9" s="39"/>
      <c r="AK9" s="6">
        <f t="shared" si="3"/>
        <v>92.699999999999989</v>
      </c>
      <c r="AL9" s="6">
        <f t="shared" si="4"/>
        <v>88</v>
      </c>
      <c r="AM9" s="6" t="str">
        <f t="shared" si="5"/>
        <v>High</v>
      </c>
      <c r="AN9" s="6" t="str">
        <f t="shared" si="6"/>
        <v>Medium</v>
      </c>
      <c r="AO9" s="6">
        <f t="shared" si="7"/>
        <v>90.35</v>
      </c>
      <c r="AP9" s="39" t="str">
        <f t="shared" si="8"/>
        <v>Excellent</v>
      </c>
      <c r="AQ9" s="39"/>
      <c r="AR9" s="1" t="str">
        <f t="shared" si="9"/>
        <v>High Performance</v>
      </c>
      <c r="AS9" s="39" t="str">
        <f t="shared" si="10"/>
        <v>Reward</v>
      </c>
      <c r="AT9" s="48"/>
      <c r="AU9" s="10"/>
      <c r="AV9" s="10"/>
      <c r="AW9" s="10"/>
      <c r="AX9" s="10"/>
      <c r="AY9" s="10"/>
    </row>
    <row r="10" spans="1:132" x14ac:dyDescent="0.3">
      <c r="A10" s="41" t="s">
        <v>34</v>
      </c>
      <c r="B10" s="39"/>
      <c r="C10" s="39" t="s">
        <v>13</v>
      </c>
      <c r="D10" s="39"/>
      <c r="E10" s="39">
        <v>96</v>
      </c>
      <c r="F10" s="39"/>
      <c r="G10" s="77">
        <v>94</v>
      </c>
      <c r="H10" s="77"/>
      <c r="I10" s="77"/>
      <c r="J10" s="39">
        <v>99</v>
      </c>
      <c r="K10" s="39"/>
      <c r="L10" s="39"/>
      <c r="M10" s="39">
        <v>98</v>
      </c>
      <c r="N10" s="39"/>
      <c r="O10" s="39"/>
      <c r="P10" s="74">
        <v>5.2</v>
      </c>
      <c r="Q10" s="74"/>
      <c r="R10" s="74"/>
      <c r="S10" s="6">
        <f t="shared" si="0"/>
        <v>100</v>
      </c>
      <c r="T10" s="24">
        <f t="shared" si="1"/>
        <v>96.85</v>
      </c>
      <c r="V10" s="41" t="s">
        <v>34</v>
      </c>
      <c r="W10" s="39"/>
      <c r="X10" s="39" t="s">
        <v>13</v>
      </c>
      <c r="Y10" s="39"/>
      <c r="Z10" s="1">
        <v>5</v>
      </c>
      <c r="AA10" s="1">
        <v>5</v>
      </c>
      <c r="AB10" s="1">
        <v>5</v>
      </c>
      <c r="AC10" s="1">
        <v>5</v>
      </c>
      <c r="AD10" s="1">
        <v>5</v>
      </c>
      <c r="AE10" s="24">
        <f t="shared" si="2"/>
        <v>100</v>
      </c>
      <c r="AG10" s="41" t="s">
        <v>34</v>
      </c>
      <c r="AH10" s="39"/>
      <c r="AI10" s="39" t="s">
        <v>13</v>
      </c>
      <c r="AJ10" s="39"/>
      <c r="AK10" s="6">
        <f t="shared" si="3"/>
        <v>96.85</v>
      </c>
      <c r="AL10" s="6">
        <f t="shared" si="4"/>
        <v>100</v>
      </c>
      <c r="AM10" s="6" t="str">
        <f t="shared" si="5"/>
        <v>High</v>
      </c>
      <c r="AN10" s="6" t="str">
        <f t="shared" si="6"/>
        <v>High</v>
      </c>
      <c r="AO10" s="6">
        <f t="shared" si="7"/>
        <v>98.424999999999997</v>
      </c>
      <c r="AP10" s="39" t="str">
        <f t="shared" si="8"/>
        <v>Excellent</v>
      </c>
      <c r="AQ10" s="39"/>
      <c r="AR10" s="1" t="str">
        <f t="shared" si="9"/>
        <v>Top Talent</v>
      </c>
      <c r="AS10" s="39" t="str">
        <f t="shared" si="10"/>
        <v>Promote</v>
      </c>
      <c r="AT10" s="48"/>
      <c r="AU10" s="10"/>
      <c r="AV10" s="10"/>
      <c r="AW10" s="10"/>
      <c r="AX10" s="10"/>
      <c r="AY10" s="10"/>
    </row>
    <row r="11" spans="1:132" x14ac:dyDescent="0.3">
      <c r="A11" s="41" t="s">
        <v>35</v>
      </c>
      <c r="B11" s="39"/>
      <c r="C11" s="39" t="s">
        <v>14</v>
      </c>
      <c r="D11" s="39"/>
      <c r="E11" s="39">
        <v>92</v>
      </c>
      <c r="F11" s="39"/>
      <c r="G11" s="77">
        <v>90</v>
      </c>
      <c r="H11" s="77"/>
      <c r="I11" s="77"/>
      <c r="J11" s="39">
        <v>98</v>
      </c>
      <c r="K11" s="39"/>
      <c r="L11" s="39"/>
      <c r="M11" s="39">
        <v>97</v>
      </c>
      <c r="N11" s="39"/>
      <c r="O11" s="39"/>
      <c r="P11" s="74">
        <v>5.5</v>
      </c>
      <c r="Q11" s="74"/>
      <c r="R11" s="74"/>
      <c r="S11" s="6">
        <f t="shared" si="0"/>
        <v>100</v>
      </c>
      <c r="T11" s="24">
        <f t="shared" si="1"/>
        <v>94.35</v>
      </c>
      <c r="V11" s="41" t="s">
        <v>35</v>
      </c>
      <c r="W11" s="39"/>
      <c r="X11" s="39" t="s">
        <v>14</v>
      </c>
      <c r="Y11" s="39"/>
      <c r="Z11" s="1">
        <v>5</v>
      </c>
      <c r="AA11" s="1">
        <v>4</v>
      </c>
      <c r="AB11" s="1">
        <v>5</v>
      </c>
      <c r="AC11" s="1">
        <v>5</v>
      </c>
      <c r="AD11" s="1">
        <v>5</v>
      </c>
      <c r="AE11" s="24">
        <f t="shared" si="2"/>
        <v>96</v>
      </c>
      <c r="AG11" s="41" t="s">
        <v>35</v>
      </c>
      <c r="AH11" s="39"/>
      <c r="AI11" s="39" t="s">
        <v>14</v>
      </c>
      <c r="AJ11" s="39"/>
      <c r="AK11" s="6">
        <f t="shared" si="3"/>
        <v>94.35</v>
      </c>
      <c r="AL11" s="6">
        <f t="shared" si="4"/>
        <v>96</v>
      </c>
      <c r="AM11" s="6" t="str">
        <f t="shared" si="5"/>
        <v>High</v>
      </c>
      <c r="AN11" s="6" t="str">
        <f t="shared" si="6"/>
        <v>High</v>
      </c>
      <c r="AO11" s="6">
        <f t="shared" si="7"/>
        <v>95.174999999999997</v>
      </c>
      <c r="AP11" s="39" t="str">
        <f t="shared" si="8"/>
        <v>Excellent</v>
      </c>
      <c r="AQ11" s="39"/>
      <c r="AR11" s="1" t="str">
        <f t="shared" si="9"/>
        <v>Top Talent</v>
      </c>
      <c r="AS11" s="39" t="str">
        <f t="shared" si="10"/>
        <v>Promote</v>
      </c>
      <c r="AT11" s="48"/>
      <c r="AU11" s="10"/>
      <c r="AV11" s="10"/>
      <c r="AW11" s="10"/>
      <c r="AX11" s="10"/>
      <c r="AY11" s="10"/>
    </row>
    <row r="12" spans="1:132" ht="15" thickBot="1" x14ac:dyDescent="0.35">
      <c r="A12" s="78" t="s">
        <v>36</v>
      </c>
      <c r="B12" s="75"/>
      <c r="C12" s="75" t="s">
        <v>15</v>
      </c>
      <c r="D12" s="75"/>
      <c r="E12" s="75">
        <v>97</v>
      </c>
      <c r="F12" s="75"/>
      <c r="G12" s="76">
        <v>95</v>
      </c>
      <c r="H12" s="76"/>
      <c r="I12" s="76"/>
      <c r="J12" s="75">
        <v>99</v>
      </c>
      <c r="K12" s="75"/>
      <c r="L12" s="75"/>
      <c r="M12" s="75">
        <v>99</v>
      </c>
      <c r="N12" s="75"/>
      <c r="O12" s="75"/>
      <c r="P12" s="73">
        <v>5</v>
      </c>
      <c r="Q12" s="73"/>
      <c r="R12" s="73"/>
      <c r="S12" s="7">
        <f t="shared" si="0"/>
        <v>100</v>
      </c>
      <c r="T12" s="25">
        <f t="shared" si="1"/>
        <v>97.549999999999983</v>
      </c>
      <c r="V12" s="59" t="s">
        <v>36</v>
      </c>
      <c r="W12" s="60"/>
      <c r="X12" s="60" t="s">
        <v>15</v>
      </c>
      <c r="Y12" s="60"/>
      <c r="Z12" s="3">
        <v>5</v>
      </c>
      <c r="AA12" s="3">
        <v>5</v>
      </c>
      <c r="AB12" s="3">
        <v>5</v>
      </c>
      <c r="AC12" s="3">
        <v>5</v>
      </c>
      <c r="AD12" s="3">
        <v>5</v>
      </c>
      <c r="AE12" s="25">
        <f t="shared" si="2"/>
        <v>100</v>
      </c>
      <c r="AG12" s="59" t="s">
        <v>36</v>
      </c>
      <c r="AH12" s="60"/>
      <c r="AI12" s="60" t="s">
        <v>15</v>
      </c>
      <c r="AJ12" s="60"/>
      <c r="AK12" s="7">
        <f t="shared" si="3"/>
        <v>97.549999999999983</v>
      </c>
      <c r="AL12" s="7">
        <f t="shared" si="4"/>
        <v>100</v>
      </c>
      <c r="AM12" s="7" t="str">
        <f t="shared" si="5"/>
        <v>High</v>
      </c>
      <c r="AN12" s="7" t="str">
        <f t="shared" si="6"/>
        <v>High</v>
      </c>
      <c r="AO12" s="7">
        <f t="shared" si="7"/>
        <v>98.774999999999991</v>
      </c>
      <c r="AP12" s="60" t="str">
        <f t="shared" si="8"/>
        <v>Excellent</v>
      </c>
      <c r="AQ12" s="60"/>
      <c r="AR12" s="3" t="str">
        <f t="shared" si="9"/>
        <v>Top Talent</v>
      </c>
      <c r="AS12" s="60" t="str">
        <f t="shared" si="10"/>
        <v>Promote</v>
      </c>
      <c r="AT12" s="64"/>
      <c r="AU12" s="10"/>
      <c r="AV12" s="10"/>
      <c r="AW12" s="10"/>
      <c r="AX12" s="10"/>
      <c r="AY12" s="10"/>
    </row>
    <row r="13" spans="1:132" x14ac:dyDescent="0.3">
      <c r="Z13" t="s">
        <v>22</v>
      </c>
    </row>
  </sheetData>
  <mergeCells count="152">
    <mergeCell ref="A2:B2"/>
    <mergeCell ref="C2:D2"/>
    <mergeCell ref="E2:F2"/>
    <mergeCell ref="G2:I2"/>
    <mergeCell ref="J2:L2"/>
    <mergeCell ref="M2:O2"/>
    <mergeCell ref="P2:R2"/>
    <mergeCell ref="G4:I4"/>
    <mergeCell ref="J3:L3"/>
    <mergeCell ref="J4:L4"/>
    <mergeCell ref="M3:O3"/>
    <mergeCell ref="P3:R3"/>
    <mergeCell ref="A12:B12"/>
    <mergeCell ref="C3:D3"/>
    <mergeCell ref="C12:D12"/>
    <mergeCell ref="C11:D11"/>
    <mergeCell ref="C10:D10"/>
    <mergeCell ref="C9:D9"/>
    <mergeCell ref="A3:B3"/>
    <mergeCell ref="A4:B4"/>
    <mergeCell ref="A5:B5"/>
    <mergeCell ref="A7:B7"/>
    <mergeCell ref="A6:B6"/>
    <mergeCell ref="G3:I3"/>
    <mergeCell ref="G6:I6"/>
    <mergeCell ref="G5:I5"/>
    <mergeCell ref="C5:D5"/>
    <mergeCell ref="C4:D4"/>
    <mergeCell ref="E3:F3"/>
    <mergeCell ref="E6:F6"/>
    <mergeCell ref="E5:F5"/>
    <mergeCell ref="E4:F4"/>
    <mergeCell ref="A11:B11"/>
    <mergeCell ref="A10:B10"/>
    <mergeCell ref="A9:B9"/>
    <mergeCell ref="A8:B8"/>
    <mergeCell ref="E12:F12"/>
    <mergeCell ref="E11:F11"/>
    <mergeCell ref="E10:F10"/>
    <mergeCell ref="E9:F9"/>
    <mergeCell ref="E8:F8"/>
    <mergeCell ref="E7:F7"/>
    <mergeCell ref="C8:D8"/>
    <mergeCell ref="C7:D7"/>
    <mergeCell ref="C6:D6"/>
    <mergeCell ref="J12:L12"/>
    <mergeCell ref="J11:L11"/>
    <mergeCell ref="J10:L10"/>
    <mergeCell ref="J9:L9"/>
    <mergeCell ref="J8:L8"/>
    <mergeCell ref="J7:L7"/>
    <mergeCell ref="J6:L6"/>
    <mergeCell ref="J5:L5"/>
    <mergeCell ref="G12:I12"/>
    <mergeCell ref="G11:I11"/>
    <mergeCell ref="G10:I10"/>
    <mergeCell ref="G9:I9"/>
    <mergeCell ref="G8:I8"/>
    <mergeCell ref="G7:I7"/>
    <mergeCell ref="M12:O12"/>
    <mergeCell ref="M11:O11"/>
    <mergeCell ref="M10:O10"/>
    <mergeCell ref="M9:O9"/>
    <mergeCell ref="M8:O8"/>
    <mergeCell ref="M7:O7"/>
    <mergeCell ref="M6:O6"/>
    <mergeCell ref="M5:O5"/>
    <mergeCell ref="M4:O4"/>
    <mergeCell ref="V11:W11"/>
    <mergeCell ref="X11:Y11"/>
    <mergeCell ref="AI12:AJ12"/>
    <mergeCell ref="P12:R12"/>
    <mergeCell ref="P11:R11"/>
    <mergeCell ref="P10:R10"/>
    <mergeCell ref="P9:R9"/>
    <mergeCell ref="P8:R8"/>
    <mergeCell ref="P4:R4"/>
    <mergeCell ref="P5:R5"/>
    <mergeCell ref="P6:R6"/>
    <mergeCell ref="P7:R7"/>
    <mergeCell ref="AG10:AH10"/>
    <mergeCell ref="AI10:AJ10"/>
    <mergeCell ref="AG11:AH11"/>
    <mergeCell ref="AI11:AJ11"/>
    <mergeCell ref="AG12:AH12"/>
    <mergeCell ref="A1:T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  <mergeCell ref="V8:W8"/>
    <mergeCell ref="X8:Y8"/>
    <mergeCell ref="V9:W9"/>
    <mergeCell ref="X9:Y9"/>
    <mergeCell ref="V10:W10"/>
    <mergeCell ref="X10:Y10"/>
    <mergeCell ref="AP6:AQ6"/>
    <mergeCell ref="AP7:AQ7"/>
    <mergeCell ref="AP8:AQ8"/>
    <mergeCell ref="AP9:AQ9"/>
    <mergeCell ref="AP10:AQ10"/>
    <mergeCell ref="V12:W12"/>
    <mergeCell ref="X12:Y12"/>
    <mergeCell ref="V1:AE1"/>
    <mergeCell ref="AG2:AH2"/>
    <mergeCell ref="AI2:AJ2"/>
    <mergeCell ref="AG3:AH3"/>
    <mergeCell ref="AI3:AJ3"/>
    <mergeCell ref="AG4:AH4"/>
    <mergeCell ref="AI4:AJ4"/>
    <mergeCell ref="AG5:AH5"/>
    <mergeCell ref="AI5:AJ5"/>
    <mergeCell ref="AG6:AH6"/>
    <mergeCell ref="AI6:AJ6"/>
    <mergeCell ref="AG7:AH7"/>
    <mergeCell ref="AI7:AJ7"/>
    <mergeCell ref="AG8:AH8"/>
    <mergeCell ref="AI8:AJ8"/>
    <mergeCell ref="AG9:AH9"/>
    <mergeCell ref="AI9:AJ9"/>
    <mergeCell ref="AV2:AY2"/>
    <mergeCell ref="AV3:AX3"/>
    <mergeCell ref="AV4:AX4"/>
    <mergeCell ref="AV5:AX5"/>
    <mergeCell ref="AV7:AX7"/>
    <mergeCell ref="AV6:AX6"/>
    <mergeCell ref="AG1:AT1"/>
    <mergeCell ref="AP11:AQ11"/>
    <mergeCell ref="AP12:AQ12"/>
    <mergeCell ref="AS2:AT2"/>
    <mergeCell ref="AS3:AT3"/>
    <mergeCell ref="AS4:AT4"/>
    <mergeCell ref="AS5:AT5"/>
    <mergeCell ref="AS6:AT6"/>
    <mergeCell ref="AS7:AT7"/>
    <mergeCell ref="AS8:AT8"/>
    <mergeCell ref="AS9:AT9"/>
    <mergeCell ref="AS10:AT10"/>
    <mergeCell ref="AS11:AT11"/>
    <mergeCell ref="AS12:AT12"/>
    <mergeCell ref="AP2:AQ2"/>
    <mergeCell ref="AP3:AQ3"/>
    <mergeCell ref="AP4:AQ4"/>
    <mergeCell ref="AP5:AQ5"/>
  </mergeCells>
  <conditionalFormatting sqref="AP3:AQ12">
    <cfRule type="containsText" dxfId="9" priority="4" operator="containsText" text="Very Good">
      <formula>NOT(ISERROR(SEARCH("Very Good",AP3)))</formula>
    </cfRule>
    <cfRule type="containsText" dxfId="8" priority="6" operator="containsText" text="Very Good">
      <formula>NOT(ISERROR(SEARCH("Very Good",AP3)))</formula>
    </cfRule>
    <cfRule type="containsText" dxfId="7" priority="7" operator="containsText" text="Excellent">
      <formula>NOT(ISERROR(SEARCH("Excellent",AP3)))</formula>
    </cfRule>
    <cfRule type="containsText" dxfId="6" priority="8" operator="containsText" text="Very Good">
      <formula>NOT(ISERROR(SEARCH("Very Good",AP3)))</formula>
    </cfRule>
    <cfRule type="containsText" dxfId="5" priority="9" operator="containsText" text="Good">
      <formula>NOT(ISERROR(SEARCH("Good",AP3)))</formula>
    </cfRule>
    <cfRule type="containsText" dxfId="4" priority="10" operator="containsText" text="Fair">
      <formula>NOT(ISERROR(SEARCH("Fair",AP3)))</formula>
    </cfRule>
    <cfRule type="containsText" dxfId="3" priority="11" operator="containsText" text="Poor">
      <formula>NOT(ISERROR(SEARCH("Poor",AP3)))</formula>
    </cfRule>
    <cfRule type="containsText" dxfId="2" priority="12" operator="containsText" text="Excellent">
      <formula>NOT(ISERROR(SEARCH("Excellent",AP3)))</formula>
    </cfRule>
    <cfRule type="containsText" dxfId="1" priority="13" operator="containsText" text="Excellent">
      <formula>NOT(ISERROR(SEARCH("Excellent",AP3)))</formula>
    </cfRule>
  </conditionalFormatting>
  <conditionalFormatting sqref="AS2:AT2">
    <cfRule type="containsText" dxfId="0" priority="3" operator="containsText" text="Promote">
      <formula>NOT(ISERROR(SEARCH("Promote",AS2)))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D0C8-1EEA-4862-B895-CCD936D390EF}">
  <dimension ref="A1:J15"/>
  <sheetViews>
    <sheetView tabSelected="1" workbookViewId="0">
      <selection activeCell="D17" sqref="D17"/>
    </sheetView>
  </sheetViews>
  <sheetFormatPr defaultRowHeight="14.4" x14ac:dyDescent="0.3"/>
  <cols>
    <col min="4" max="4" width="13.33203125" customWidth="1"/>
    <col min="6" max="6" width="13.33203125" customWidth="1"/>
    <col min="7" max="7" width="11.5546875" customWidth="1"/>
    <col min="10" max="10" width="13.109375" customWidth="1"/>
  </cols>
  <sheetData>
    <row r="1" spans="1:10" ht="21.6" thickBot="1" x14ac:dyDescent="0.45">
      <c r="A1" s="35" t="s">
        <v>75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5.6" x14ac:dyDescent="0.3">
      <c r="A2" s="40" t="s">
        <v>64</v>
      </c>
      <c r="B2" s="38"/>
      <c r="C2" s="38" t="s">
        <v>70</v>
      </c>
      <c r="D2" s="38"/>
      <c r="E2" s="38" t="s">
        <v>71</v>
      </c>
      <c r="F2" s="38"/>
      <c r="G2" s="19" t="s">
        <v>72</v>
      </c>
      <c r="H2" s="38" t="s">
        <v>73</v>
      </c>
      <c r="I2" s="38"/>
      <c r="J2" s="20" t="s">
        <v>74</v>
      </c>
    </row>
    <row r="3" spans="1:10" x14ac:dyDescent="0.3">
      <c r="A3" s="41" t="s">
        <v>65</v>
      </c>
      <c r="B3" s="39"/>
      <c r="C3" s="39">
        <v>65</v>
      </c>
      <c r="D3" s="39"/>
      <c r="E3" s="39">
        <v>75</v>
      </c>
      <c r="F3" s="39"/>
      <c r="G3" s="1">
        <f>E3-C3</f>
        <v>10</v>
      </c>
      <c r="H3" s="39" t="str">
        <f>IF(G3&gt;0,"Hire","No Action")</f>
        <v>Hire</v>
      </c>
      <c r="I3" s="39"/>
      <c r="J3" s="16" t="str">
        <f>IF(G3&gt;=5,"High","Low")</f>
        <v>High</v>
      </c>
    </row>
    <row r="4" spans="1:10" x14ac:dyDescent="0.3">
      <c r="A4" s="41" t="s">
        <v>66</v>
      </c>
      <c r="B4" s="39"/>
      <c r="C4" s="39">
        <v>8</v>
      </c>
      <c r="D4" s="39"/>
      <c r="E4" s="39">
        <v>8</v>
      </c>
      <c r="F4" s="39"/>
      <c r="G4" s="1">
        <f t="shared" ref="G4:G7" si="0">E4-C4</f>
        <v>0</v>
      </c>
      <c r="H4" s="39" t="str">
        <f t="shared" ref="H4:H7" si="1">IF(G4&gt;0,"Hire","No Action")</f>
        <v>No Action</v>
      </c>
      <c r="I4" s="39"/>
      <c r="J4" s="16" t="str">
        <f t="shared" ref="J4:J7" si="2">IF(G4&gt;=5,"High","Low")</f>
        <v>Low</v>
      </c>
    </row>
    <row r="5" spans="1:10" x14ac:dyDescent="0.3">
      <c r="A5" s="41" t="s">
        <v>67</v>
      </c>
      <c r="B5" s="39"/>
      <c r="C5" s="39">
        <v>3</v>
      </c>
      <c r="D5" s="39"/>
      <c r="E5" s="39">
        <v>3</v>
      </c>
      <c r="F5" s="39"/>
      <c r="G5" s="1">
        <f t="shared" si="0"/>
        <v>0</v>
      </c>
      <c r="H5" s="39" t="str">
        <f t="shared" si="1"/>
        <v>No Action</v>
      </c>
      <c r="I5" s="39"/>
      <c r="J5" s="16" t="str">
        <f t="shared" si="2"/>
        <v>Low</v>
      </c>
    </row>
    <row r="6" spans="1:10" x14ac:dyDescent="0.3">
      <c r="A6" s="41" t="s">
        <v>68</v>
      </c>
      <c r="B6" s="39"/>
      <c r="C6" s="39">
        <v>2</v>
      </c>
      <c r="D6" s="39"/>
      <c r="E6" s="39">
        <v>2</v>
      </c>
      <c r="F6" s="39"/>
      <c r="G6" s="1">
        <f t="shared" si="0"/>
        <v>0</v>
      </c>
      <c r="H6" s="39" t="str">
        <f t="shared" si="1"/>
        <v>No Action</v>
      </c>
      <c r="I6" s="39"/>
      <c r="J6" s="16" t="str">
        <f t="shared" si="2"/>
        <v>Low</v>
      </c>
    </row>
    <row r="7" spans="1:10" x14ac:dyDescent="0.3">
      <c r="A7" s="41" t="s">
        <v>69</v>
      </c>
      <c r="B7" s="39"/>
      <c r="C7" s="39">
        <v>2</v>
      </c>
      <c r="D7" s="39"/>
      <c r="E7" s="39">
        <v>2</v>
      </c>
      <c r="F7" s="39"/>
      <c r="G7" s="1">
        <f t="shared" si="0"/>
        <v>0</v>
      </c>
      <c r="H7" s="39" t="str">
        <f t="shared" si="1"/>
        <v>No Action</v>
      </c>
      <c r="I7" s="39"/>
      <c r="J7" s="16" t="str">
        <f t="shared" si="2"/>
        <v>Low</v>
      </c>
    </row>
    <row r="8" spans="1:10" ht="16.2" thickBot="1" x14ac:dyDescent="0.35">
      <c r="A8" s="36" t="s">
        <v>76</v>
      </c>
      <c r="B8" s="37"/>
      <c r="C8" s="37">
        <f>SUM(C3:C7)</f>
        <v>80</v>
      </c>
      <c r="D8" s="37"/>
      <c r="E8" s="37">
        <f>SUM(E3:E7)</f>
        <v>90</v>
      </c>
      <c r="F8" s="37"/>
      <c r="G8" s="21">
        <f>SUM(G3:G7)</f>
        <v>10</v>
      </c>
      <c r="H8" s="37" t="s">
        <v>77</v>
      </c>
      <c r="I8" s="37"/>
      <c r="J8" s="22" t="s">
        <v>77</v>
      </c>
    </row>
    <row r="9" spans="1:10" x14ac:dyDescent="0.3">
      <c r="A9" s="10"/>
      <c r="B9" s="10"/>
      <c r="C9" s="10"/>
      <c r="D9" s="10"/>
    </row>
    <row r="10" spans="1:10" ht="16.2" thickBot="1" x14ac:dyDescent="0.35">
      <c r="A10" s="10"/>
      <c r="B10" s="31" t="s">
        <v>84</v>
      </c>
      <c r="C10" s="32"/>
      <c r="D10" s="32"/>
    </row>
    <row r="11" spans="1:10" ht="15.6" x14ac:dyDescent="0.3">
      <c r="A11" s="10"/>
      <c r="B11" s="33" t="s">
        <v>78</v>
      </c>
      <c r="C11" s="34"/>
      <c r="D11" s="23" t="s">
        <v>79</v>
      </c>
    </row>
    <row r="12" spans="1:10" x14ac:dyDescent="0.3">
      <c r="A12" s="10"/>
      <c r="B12" s="27" t="s">
        <v>80</v>
      </c>
      <c r="C12" s="28"/>
      <c r="D12" s="11">
        <f>C8</f>
        <v>80</v>
      </c>
    </row>
    <row r="13" spans="1:10" x14ac:dyDescent="0.3">
      <c r="A13" s="10"/>
      <c r="B13" s="27" t="s">
        <v>81</v>
      </c>
      <c r="C13" s="28"/>
      <c r="D13" s="11">
        <f>E8</f>
        <v>90</v>
      </c>
    </row>
    <row r="14" spans="1:10" x14ac:dyDescent="0.3">
      <c r="A14" s="10"/>
      <c r="B14" s="27" t="s">
        <v>82</v>
      </c>
      <c r="C14" s="28"/>
      <c r="D14" s="11">
        <f>G8</f>
        <v>10</v>
      </c>
    </row>
    <row r="15" spans="1:10" ht="15" thickBot="1" x14ac:dyDescent="0.35">
      <c r="A15" s="10"/>
      <c r="B15" s="29" t="s">
        <v>83</v>
      </c>
      <c r="C15" s="30"/>
      <c r="D15" s="12">
        <f>G8</f>
        <v>10</v>
      </c>
    </row>
  </sheetData>
  <mergeCells count="35">
    <mergeCell ref="C6:D6"/>
    <mergeCell ref="C7:D7"/>
    <mergeCell ref="A2:B2"/>
    <mergeCell ref="A3:B3"/>
    <mergeCell ref="A4:B4"/>
    <mergeCell ref="A5:B5"/>
    <mergeCell ref="A6:B6"/>
    <mergeCell ref="A7:B7"/>
    <mergeCell ref="E4:F4"/>
    <mergeCell ref="C2:D2"/>
    <mergeCell ref="C3:D3"/>
    <mergeCell ref="C4:D4"/>
    <mergeCell ref="C5:D5"/>
    <mergeCell ref="A1:J1"/>
    <mergeCell ref="A8:B8"/>
    <mergeCell ref="C8:D8"/>
    <mergeCell ref="E8:F8"/>
    <mergeCell ref="H8:I8"/>
    <mergeCell ref="H2:I2"/>
    <mergeCell ref="H3:I3"/>
    <mergeCell ref="H4:I4"/>
    <mergeCell ref="H7:I7"/>
    <mergeCell ref="H6:I6"/>
    <mergeCell ref="H5:I5"/>
    <mergeCell ref="E2:F2"/>
    <mergeCell ref="E3:F3"/>
    <mergeCell ref="E7:F7"/>
    <mergeCell ref="E6:F6"/>
    <mergeCell ref="E5:F5"/>
    <mergeCell ref="B12:C12"/>
    <mergeCell ref="B13:C13"/>
    <mergeCell ref="B14:C14"/>
    <mergeCell ref="B15:C15"/>
    <mergeCell ref="B10:D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</vt:lpstr>
      <vt:lpstr>KPI</vt:lpstr>
      <vt:lpstr>Manpower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 tahaa</dc:creator>
  <cp:lastModifiedBy>mena tahaa</cp:lastModifiedBy>
  <dcterms:created xsi:type="dcterms:W3CDTF">2026-07-20T19:23:41Z</dcterms:created>
  <dcterms:modified xsi:type="dcterms:W3CDTF">2026-10-03T18:59:02Z</dcterms:modified>
</cp:coreProperties>
</file>